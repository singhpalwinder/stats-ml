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/Library/Mobile Documents/com~apple~CloudDocs/Documents/UHD/STATS_ML/"/>
    </mc:Choice>
  </mc:AlternateContent>
  <xr:revisionPtr revIDLastSave="0" documentId="8_{32B71F2C-21D8-E648-8246-8BA306FA715B}" xr6:coauthVersionLast="47" xr6:coauthVersionMax="47" xr10:uidLastSave="{00000000-0000-0000-0000-000000000000}"/>
  <bookViews>
    <workbookView xWindow="25600" yWindow="600" windowWidth="25600" windowHeight="28200" xr2:uid="{E5881D48-17FB-AE48-B4A8-DEBCD1337B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J12" i="1"/>
  <c r="J13" i="1"/>
  <c r="J14" i="1"/>
  <c r="J11" i="1"/>
  <c r="I12" i="1"/>
  <c r="I13" i="1"/>
  <c r="I14" i="1"/>
  <c r="I11" i="1"/>
  <c r="H12" i="1"/>
  <c r="H13" i="1"/>
  <c r="H14" i="1"/>
  <c r="H11" i="1"/>
  <c r="G12" i="1"/>
  <c r="G13" i="1"/>
  <c r="G14" i="1"/>
  <c r="G11" i="1"/>
  <c r="J3" i="1"/>
  <c r="J4" i="1"/>
  <c r="J2" i="1"/>
  <c r="I3" i="1"/>
  <c r="I4" i="1"/>
  <c r="I2" i="1"/>
  <c r="H3" i="1"/>
  <c r="H4" i="1"/>
  <c r="H2" i="1"/>
  <c r="G4" i="1"/>
  <c r="G5" i="1"/>
  <c r="H5" i="1" s="1"/>
  <c r="G3" i="1"/>
  <c r="G2" i="1"/>
  <c r="I5" i="1" l="1"/>
  <c r="J5" i="1"/>
  <c r="J6" i="1" s="1"/>
</calcChain>
</file>

<file path=xl/sharedStrings.xml><?xml version="1.0" encoding="utf-8"?>
<sst xmlns="http://schemas.openxmlformats.org/spreadsheetml/2006/main" count="22" uniqueCount="12">
  <si>
    <t>X1</t>
  </si>
  <si>
    <t>X2</t>
  </si>
  <si>
    <t>y</t>
  </si>
  <si>
    <t>b0</t>
  </si>
  <si>
    <t>b1</t>
  </si>
  <si>
    <t>b2</t>
  </si>
  <si>
    <t>b0+b1*x1+b2*x2</t>
  </si>
  <si>
    <t>p</t>
  </si>
  <si>
    <t>1-p</t>
  </si>
  <si>
    <t>log-likelihood</t>
  </si>
  <si>
    <t>Model 1</t>
  </si>
  <si>
    <t>Model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</si>
</sst>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D4C2B-0581-D84F-A95F-3D307E5EA1AB}">
  <dimension ref="A1:L15"/>
  <sheetViews>
    <sheetView tabSelected="1" zoomScale="140" zoomScaleNormal="140" workbookViewId="0">
      <selection activeCell="M17" sqref="M17"/>
    </sheetView>
  </sheetViews>
  <sheetFormatPr baseColWidth="10" defaultRowHeight="16" x14ac:dyDescent="0.2"/>
  <cols>
    <col min="10" max="10" width="12.5" customWidth="1"/>
  </cols>
  <sheetData>
    <row r="1" spans="1:12" ht="44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</row>
    <row r="2" spans="1:12" x14ac:dyDescent="0.2">
      <c r="A2">
        <v>1</v>
      </c>
      <c r="B2">
        <v>0</v>
      </c>
      <c r="C2">
        <v>1</v>
      </c>
      <c r="D2">
        <v>0</v>
      </c>
      <c r="E2">
        <v>-1</v>
      </c>
      <c r="F2">
        <v>1.5</v>
      </c>
      <c r="G2">
        <f>D2 + (E2 * A2)+(F2*B2)</f>
        <v>-1</v>
      </c>
      <c r="H2">
        <f>1/(1+EXP(-G2))</f>
        <v>0.2689414213699951</v>
      </c>
      <c r="I2">
        <f>1-H2</f>
        <v>0.7310585786300049</v>
      </c>
      <c r="J2">
        <f>(C2 * LN(H2)) + ((1 - C2) * LN(1 - H2))</f>
        <v>-1.3132616875182228</v>
      </c>
    </row>
    <row r="3" spans="1:12" x14ac:dyDescent="0.2">
      <c r="A3">
        <v>0</v>
      </c>
      <c r="B3">
        <v>-1</v>
      </c>
      <c r="C3">
        <v>1</v>
      </c>
      <c r="D3">
        <v>0</v>
      </c>
      <c r="E3">
        <v>-1</v>
      </c>
      <c r="F3">
        <v>1.5</v>
      </c>
      <c r="G3">
        <f>D3 + (E3 * A3)+(F3*B3)</f>
        <v>-1.5</v>
      </c>
      <c r="H3">
        <f t="shared" ref="H3:H5" si="0">1/(1+EXP(-G3))</f>
        <v>0.18242552380635635</v>
      </c>
      <c r="I3">
        <f t="shared" ref="I3:I5" si="1">1-H3</f>
        <v>0.81757447619364365</v>
      </c>
      <c r="J3">
        <f t="shared" ref="J3:J5" si="2">(C3 * LN(H3)) + ((1 - C3) * LN(1 - H3))</f>
        <v>-1.7014132779827524</v>
      </c>
    </row>
    <row r="4" spans="1:12" x14ac:dyDescent="0.2">
      <c r="A4">
        <v>0</v>
      </c>
      <c r="B4">
        <v>1</v>
      </c>
      <c r="C4">
        <v>0</v>
      </c>
      <c r="D4">
        <v>0</v>
      </c>
      <c r="E4">
        <v>-1</v>
      </c>
      <c r="F4">
        <v>1.5</v>
      </c>
      <c r="G4">
        <f>D4 + (E4 * A4)+(F4*B4)</f>
        <v>1.5</v>
      </c>
      <c r="H4">
        <f t="shared" si="0"/>
        <v>0.81757447619364365</v>
      </c>
      <c r="I4">
        <f t="shared" si="1"/>
        <v>0.18242552380635635</v>
      </c>
      <c r="J4">
        <f t="shared" si="2"/>
        <v>-1.7014132779827524</v>
      </c>
      <c r="L4" t="s">
        <v>10</v>
      </c>
    </row>
    <row r="5" spans="1:12" x14ac:dyDescent="0.2">
      <c r="A5">
        <v>-1</v>
      </c>
      <c r="B5">
        <v>0</v>
      </c>
      <c r="C5">
        <v>0</v>
      </c>
      <c r="D5">
        <v>0</v>
      </c>
      <c r="E5">
        <v>-1</v>
      </c>
      <c r="F5">
        <v>1.5</v>
      </c>
      <c r="G5">
        <f>D5 + (E5 * A5)+(F5*B5)</f>
        <v>1</v>
      </c>
      <c r="H5">
        <f t="shared" si="0"/>
        <v>0.7310585786300049</v>
      </c>
      <c r="I5">
        <f t="shared" si="1"/>
        <v>0.2689414213699951</v>
      </c>
      <c r="J5">
        <f t="shared" si="2"/>
        <v>-1.3132616875182228</v>
      </c>
    </row>
    <row r="6" spans="1:12" x14ac:dyDescent="0.2">
      <c r="J6">
        <f>SUM(J2:J5)</f>
        <v>-6.0293499310019509</v>
      </c>
    </row>
    <row r="10" spans="1:12" ht="61" customHeight="1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s="1" t="s">
        <v>6</v>
      </c>
      <c r="H10" t="s">
        <v>7</v>
      </c>
      <c r="I10" t="s">
        <v>8</v>
      </c>
      <c r="J10" t="s">
        <v>9</v>
      </c>
    </row>
    <row r="11" spans="1:12" x14ac:dyDescent="0.2">
      <c r="A11">
        <v>1</v>
      </c>
      <c r="B11">
        <v>0</v>
      </c>
      <c r="C11">
        <v>1</v>
      </c>
      <c r="D11">
        <v>0</v>
      </c>
      <c r="E11">
        <v>-2</v>
      </c>
      <c r="F11">
        <v>1</v>
      </c>
      <c r="G11">
        <f>D11 + (E11 * A11)+(F11*B11)</f>
        <v>-2</v>
      </c>
      <c r="H11">
        <f>1/(1+EXP(-G11))</f>
        <v>0.11920292202211755</v>
      </c>
      <c r="I11">
        <f>1-H11</f>
        <v>0.88079707797788243</v>
      </c>
      <c r="J11">
        <f>(C11 * LN(H11)) + ((1 - C11) * LN(1 - H11))</f>
        <v>-2.1269280110429727</v>
      </c>
    </row>
    <row r="12" spans="1:12" x14ac:dyDescent="0.2">
      <c r="A12">
        <v>0</v>
      </c>
      <c r="B12">
        <v>-1</v>
      </c>
      <c r="C12">
        <v>1</v>
      </c>
      <c r="D12">
        <v>0</v>
      </c>
      <c r="E12">
        <v>-2</v>
      </c>
      <c r="F12">
        <v>1</v>
      </c>
      <c r="G12">
        <f t="shared" ref="G12:G14" si="3">D12 + (E12 * A12)+(F12*B12)</f>
        <v>-1</v>
      </c>
      <c r="H12">
        <f t="shared" ref="H12:H14" si="4">1/(1+EXP(-G12))</f>
        <v>0.2689414213699951</v>
      </c>
      <c r="I12">
        <f t="shared" ref="I12:I14" si="5">1-H12</f>
        <v>0.7310585786300049</v>
      </c>
      <c r="J12">
        <f t="shared" ref="J12:J14" si="6">(C12 * LN(H12)) + ((1 - C12) * LN(1 - H12))</f>
        <v>-1.3132616875182228</v>
      </c>
    </row>
    <row r="13" spans="1:12" x14ac:dyDescent="0.2">
      <c r="A13">
        <v>0</v>
      </c>
      <c r="B13">
        <v>1</v>
      </c>
      <c r="C13">
        <v>0</v>
      </c>
      <c r="D13">
        <v>0</v>
      </c>
      <c r="E13">
        <v>-2</v>
      </c>
      <c r="F13">
        <v>1</v>
      </c>
      <c r="G13">
        <f t="shared" si="3"/>
        <v>1</v>
      </c>
      <c r="H13">
        <f t="shared" si="4"/>
        <v>0.7310585786300049</v>
      </c>
      <c r="I13">
        <f t="shared" si="5"/>
        <v>0.2689414213699951</v>
      </c>
      <c r="J13">
        <f t="shared" si="6"/>
        <v>-1.3132616875182228</v>
      </c>
      <c r="L13" t="s">
        <v>11</v>
      </c>
    </row>
    <row r="14" spans="1:12" x14ac:dyDescent="0.2">
      <c r="A14">
        <v>-1</v>
      </c>
      <c r="B14">
        <v>0</v>
      </c>
      <c r="C14">
        <v>0</v>
      </c>
      <c r="D14">
        <v>0</v>
      </c>
      <c r="E14">
        <v>-2</v>
      </c>
      <c r="F14">
        <v>1</v>
      </c>
      <c r="G14">
        <f t="shared" si="3"/>
        <v>2</v>
      </c>
      <c r="H14">
        <f t="shared" si="4"/>
        <v>0.88079707797788231</v>
      </c>
      <c r="I14">
        <f t="shared" si="5"/>
        <v>0.11920292202211769</v>
      </c>
      <c r="J14">
        <f t="shared" si="6"/>
        <v>-2.1269280110429714</v>
      </c>
    </row>
    <row r="15" spans="1:12" x14ac:dyDescent="0.2">
      <c r="J15">
        <f>SUM(J11:J14)</f>
        <v>-6.8803793971223897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Singh</dc:creator>
  <cp:lastModifiedBy>Paul Singh</cp:lastModifiedBy>
  <dcterms:created xsi:type="dcterms:W3CDTF">2026-02-12T01:38:04Z</dcterms:created>
  <dcterms:modified xsi:type="dcterms:W3CDTF">2026-02-12T02:25:54Z</dcterms:modified>
</cp:coreProperties>
</file>